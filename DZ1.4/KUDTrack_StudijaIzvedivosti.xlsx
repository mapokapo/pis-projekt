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o\Downloads\projektiranje-informacijskih-sustava\Projekt\DZ1.4\"/>
    </mc:Choice>
  </mc:AlternateContent>
  <xr:revisionPtr revIDLastSave="0" documentId="13_ncr:1_{706A273F-AA72-485C-9EE2-5C5D5867D88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Analiza izvedivosti" sheetId="1" r:id="rId1"/>
    <sheet name="Analiza troškov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1" i="2" l="1"/>
  <c r="E42" i="2" s="1"/>
  <c r="E32" i="2"/>
  <c r="D41" i="2"/>
  <c r="D42" i="2" s="1"/>
  <c r="C41" i="2"/>
  <c r="B41" i="2"/>
  <c r="D32" i="2"/>
  <c r="C32" i="2"/>
  <c r="B32" i="2"/>
  <c r="D19" i="2"/>
  <c r="D17" i="2"/>
  <c r="D10" i="2"/>
  <c r="D7" i="2"/>
  <c r="D6" i="2"/>
  <c r="D5" i="2"/>
  <c r="D4" i="2"/>
  <c r="F19" i="1"/>
  <c r="E19" i="1"/>
  <c r="D19" i="1"/>
  <c r="C19" i="1"/>
  <c r="F13" i="1"/>
  <c r="E13" i="1"/>
  <c r="D13" i="1"/>
  <c r="C13" i="1"/>
  <c r="F7" i="1"/>
  <c r="E7" i="1"/>
  <c r="D7" i="1"/>
  <c r="C7" i="1"/>
  <c r="D20" i="2" l="1"/>
  <c r="B42" i="2"/>
  <c r="B43" i="2" s="1"/>
  <c r="C43" i="2" s="1"/>
  <c r="C42" i="2"/>
  <c r="C44" i="2"/>
  <c r="D43" i="2"/>
  <c r="D44" i="2" s="1"/>
  <c r="E43" i="2" l="1"/>
  <c r="E44" i="2" s="1"/>
</calcChain>
</file>

<file path=xl/sharedStrings.xml><?xml version="1.0" encoding="utf-8"?>
<sst xmlns="http://schemas.openxmlformats.org/spreadsheetml/2006/main" count="95" uniqueCount="74">
  <si>
    <t>Analiza izvedivosti</t>
  </si>
  <si>
    <t>Modul inventara</t>
  </si>
  <si>
    <t>Modul zaduženja</t>
  </si>
  <si>
    <t>Modul statusa i upozorenja</t>
  </si>
  <si>
    <t>Modul izvještavanja</t>
  </si>
  <si>
    <t>Izrada vlastitog</t>
  </si>
  <si>
    <t>Operativna</t>
  </si>
  <si>
    <t>Tehnička</t>
  </si>
  <si>
    <t>Vremenska</t>
  </si>
  <si>
    <t>Ekonomska</t>
  </si>
  <si>
    <t>Ocjena alternative</t>
  </si>
  <si>
    <t>Komentar: Vlastiti razvoj daje potpunu prilagodbu procesima KUD-a: dodjela nošnje po članu i nastupu, praćenje statusa u stvarnom vremenu, automatska e-mail upozorenja. Tim od 3 člana raspolaže potrebnim znanjem; isporuka planirana za 05.08.2026. po gantogramu.</t>
  </si>
  <si>
    <t>Nabava gotovog</t>
  </si>
  <si>
    <t>Komentar: Generička inventory-management rješenja ne pokrivaju specifičnosti folklornog KUD-a: nedostaje koncept zaduženja po članu i nastupu, nema prilagodbe statusima nošnje. Godišnje licencne naknade predstavljaju trajan trošak za neprofitnu organizaciju.</t>
  </si>
  <si>
    <t>Nadogradnja postojećeg (Excel)</t>
  </si>
  <si>
    <t>Komentar: Nadogradnja Excel tablica kratkoročno je najjeftinije rješenje, ali ne rješava temeljne probleme: nema automatskih upozorenja, višekorisničkog pristupa u stvarnom vremenu ni strukturirane povijesti zaduženja. Skalabilnost praktički ne postoji.</t>
  </si>
  <si>
    <t>Konačni prijedlog alternative</t>
  </si>
  <si>
    <t>x</t>
  </si>
  <si>
    <t>Ljudski rad</t>
  </si>
  <si>
    <t>Funkcija</t>
  </si>
  <si>
    <t>Količina (sati)</t>
  </si>
  <si>
    <t>Cijena (po satu, KM)</t>
  </si>
  <si>
    <t>Ukupno (KM)</t>
  </si>
  <si>
    <t>Analitičar sustava / voditelj (Leo)</t>
  </si>
  <si>
    <t>Pisac dokumentacije (Ana)</t>
  </si>
  <si>
    <t>Edukacije</t>
  </si>
  <si>
    <t>Vrsta</t>
  </si>
  <si>
    <t>Količina (dana)</t>
  </si>
  <si>
    <t>Cijena (po danu, KM)</t>
  </si>
  <si>
    <t>Obuka administratora KUD-a (UAT faza)</t>
  </si>
  <si>
    <t>Materijal</t>
  </si>
  <si>
    <t>Cijena (KM)</t>
  </si>
  <si>
    <t>Korisnička i tehnička dokumentacija</t>
  </si>
  <si>
    <t>Potrošni materijal i ispisi</t>
  </si>
  <si>
    <t>Oprema i infrastruktura</t>
  </si>
  <si>
    <t>Količina</t>
  </si>
  <si>
    <t>Cijena (po komadu, KM)</t>
  </si>
  <si>
    <t>Razvojni alati i licence (open-source)</t>
  </si>
  <si>
    <t>Testno okruženje i UAT</t>
  </si>
  <si>
    <t>UKUPNO</t>
  </si>
  <si>
    <t>Stavka</t>
  </si>
  <si>
    <t>Godina 0 (2026)</t>
  </si>
  <si>
    <t>Godina 1 (2027)</t>
  </si>
  <si>
    <t>Godina 2 (2028)</t>
  </si>
  <si>
    <t>TROŠKOVI (KM)</t>
  </si>
  <si>
    <t>Razvoj sustava (rad tima)</t>
  </si>
  <si>
    <t>Edukacija korisnika</t>
  </si>
  <si>
    <t>Dokumentacija i materijal</t>
  </si>
  <si>
    <t>Testiranje i UAT</t>
  </si>
  <si>
    <t>Godišnje održavanje i podrška</t>
  </si>
  <si>
    <t>Nepredviđeni troškovi (~10%)</t>
  </si>
  <si>
    <t>Ukupni troškovi</t>
  </si>
  <si>
    <t>KORISTI (KM)</t>
  </si>
  <si>
    <t>Smanjenje gubitaka i oštećenja nošnje</t>
  </si>
  <si>
    <t>Ušteda administrativnog rada (evidencija)</t>
  </si>
  <si>
    <t>Smanjenje troška zamjenskih komada</t>
  </si>
  <si>
    <t>Učinkovitije planiranje nastupa</t>
  </si>
  <si>
    <t>Smanjenje papirnih i materijalnih troškova</t>
  </si>
  <si>
    <t>Potencijal licenciranja drugim KUD-ovima</t>
  </si>
  <si>
    <t>Poboljšana pozicija za grantove/donacije</t>
  </si>
  <si>
    <t>Ukupne koristi</t>
  </si>
  <si>
    <t>Neto korist (KM)</t>
  </si>
  <si>
    <t>Kumulativna neto korist (KM)</t>
  </si>
  <si>
    <t>ROI (%)</t>
  </si>
  <si>
    <t>-</t>
  </si>
  <si>
    <t>Komentar: Modul inventara treće rješenje (nadogradnja postojećeg) izvodi s istom učinkovitošću kao i prvo rješenje (izrada vlastitog) te su oba rješenja validna, no prvo rješenje (izrada vlastitog) je izabrano radi jednostavnosti jer bi inače morali koristiti dva nepovezana sustava.</t>
  </si>
  <si>
    <t>Analiza troškova - KUDTrack (Izrada vlastitog sustava)</t>
  </si>
  <si>
    <t>Programer - backend (Marko)</t>
  </si>
  <si>
    <t>Programer - frontend (Ana)</t>
  </si>
  <si>
    <t>VPS hosting - godišnja naknada</t>
  </si>
  <si>
    <t>Infrastruktura - VPS hosting</t>
  </si>
  <si>
    <t>Analiza povrata investicije (ROI) - projekcija 4 godine</t>
  </si>
  <si>
    <t>Godina 3 (2029)</t>
  </si>
  <si>
    <t>Izabrano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</si>
</sst>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color rgb="FF000000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i/>
      <sz val="9"/>
      <color rgb="FF444444"/>
      <name val="Calibri"/>
      <charset val="1"/>
    </font>
    <font>
      <b/>
      <sz val="11"/>
      <color rgb="FF000000"/>
      <name val="Calibri"/>
      <charset val="1"/>
    </font>
    <font>
      <b/>
      <sz val="11"/>
      <color theme="1"/>
      <name val="Calibri"/>
      <family val="2"/>
    </font>
    <font>
      <b/>
      <sz val="10"/>
      <color rgb="FF000000"/>
      <name val="Calibri"/>
      <family val="2"/>
    </font>
    <font>
      <i/>
      <sz val="9"/>
      <color rgb="FF444444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BDD7EE"/>
        <bgColor rgb="FFD9E1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theme="3" tint="0.79998168889431442"/>
        <bgColor rgb="FFE2EFDA"/>
      </patternFill>
    </fill>
    <fill>
      <patternFill patternType="solid">
        <fgColor theme="4" tint="0.79998168889431442"/>
        <bgColor rgb="FFD9E1F2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2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5" borderId="2" xfId="0" applyFill="1" applyBorder="1"/>
    <xf numFmtId="0" fontId="3" fillId="5" borderId="2" xfId="0" applyFont="1" applyFill="1" applyBorder="1" applyAlignment="1">
      <alignment horizontal="left" vertical="center" wrapText="1"/>
    </xf>
    <xf numFmtId="2" fontId="3" fillId="5" borderId="2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2" fontId="3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right" vertical="center"/>
    </xf>
    <xf numFmtId="0" fontId="3" fillId="8" borderId="2" xfId="0" applyFont="1" applyFill="1" applyBorder="1" applyAlignment="1">
      <alignment horizontal="left" vertical="center" wrapText="1"/>
    </xf>
    <xf numFmtId="3" fontId="5" fillId="8" borderId="2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3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6" fillId="12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2" fontId="3" fillId="13" borderId="2" xfId="0" applyNumberFormat="1" applyFont="1" applyFill="1" applyBorder="1" applyAlignment="1">
      <alignment horizontal="right" vertical="center"/>
    </xf>
    <xf numFmtId="2" fontId="3" fillId="14" borderId="2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13" borderId="2" xfId="0" applyFill="1" applyBorder="1"/>
    <xf numFmtId="0" fontId="2" fillId="13" borderId="2" xfId="0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1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opLeftCell="A11" zoomScaleNormal="100" workbookViewId="0">
      <selection activeCell="B26" sqref="B26"/>
    </sheetView>
  </sheetViews>
  <sheetFormatPr defaultColWidth="8.6640625" defaultRowHeight="14.4" x14ac:dyDescent="0.3"/>
  <cols>
    <col min="1" max="1" width="26" customWidth="1"/>
    <col min="2" max="2" width="14" customWidth="1"/>
    <col min="3" max="6" width="24" customWidth="1"/>
  </cols>
  <sheetData>
    <row r="1" spans="1:6" ht="19.5" customHeight="1" x14ac:dyDescent="0.3">
      <c r="A1" s="32" t="s">
        <v>0</v>
      </c>
      <c r="B1" s="32"/>
      <c r="C1" s="32"/>
      <c r="D1" s="32"/>
      <c r="E1" s="32"/>
      <c r="F1" s="32"/>
    </row>
    <row r="2" spans="1:6" ht="30" customHeight="1" x14ac:dyDescent="0.3">
      <c r="A2" s="6"/>
      <c r="B2" s="6"/>
      <c r="C2" s="7" t="s">
        <v>1</v>
      </c>
      <c r="D2" s="7" t="s">
        <v>2</v>
      </c>
      <c r="E2" s="7" t="s">
        <v>3</v>
      </c>
      <c r="F2" s="7" t="s">
        <v>4</v>
      </c>
    </row>
    <row r="3" spans="1:6" ht="15" customHeight="1" x14ac:dyDescent="0.3">
      <c r="A3" s="5" t="s">
        <v>5</v>
      </c>
      <c r="B3" s="8" t="s">
        <v>6</v>
      </c>
      <c r="C3" s="9">
        <v>3</v>
      </c>
      <c r="D3" s="9">
        <v>3</v>
      </c>
      <c r="E3" s="9">
        <v>3</v>
      </c>
      <c r="F3" s="9">
        <v>3</v>
      </c>
    </row>
    <row r="4" spans="1:6" x14ac:dyDescent="0.3">
      <c r="A4" s="5"/>
      <c r="B4" s="8" t="s">
        <v>7</v>
      </c>
      <c r="C4" s="9">
        <v>3</v>
      </c>
      <c r="D4" s="9">
        <v>3</v>
      </c>
      <c r="E4" s="9">
        <v>3</v>
      </c>
      <c r="F4" s="9">
        <v>2</v>
      </c>
    </row>
    <row r="5" spans="1:6" x14ac:dyDescent="0.3">
      <c r="A5" s="5"/>
      <c r="B5" s="8" t="s">
        <v>8</v>
      </c>
      <c r="C5" s="9">
        <v>2</v>
      </c>
      <c r="D5" s="9">
        <v>2</v>
      </c>
      <c r="E5" s="9">
        <v>2</v>
      </c>
      <c r="F5" s="9">
        <v>2</v>
      </c>
    </row>
    <row r="6" spans="1:6" x14ac:dyDescent="0.3">
      <c r="A6" s="5"/>
      <c r="B6" s="8" t="s">
        <v>9</v>
      </c>
      <c r="C6" s="9">
        <v>3</v>
      </c>
      <c r="D6" s="9">
        <v>2</v>
      </c>
      <c r="E6" s="9">
        <v>2</v>
      </c>
      <c r="F6" s="9">
        <v>2</v>
      </c>
    </row>
    <row r="7" spans="1:6" ht="27.6" x14ac:dyDescent="0.3">
      <c r="A7" s="10"/>
      <c r="B7" s="11" t="s">
        <v>10</v>
      </c>
      <c r="C7" s="12">
        <f>AVERAGE(C3:C6)</f>
        <v>2.75</v>
      </c>
      <c r="D7" s="12">
        <f>AVERAGE(D3:D6)</f>
        <v>2.5</v>
      </c>
      <c r="E7" s="12">
        <f>AVERAGE(E3:E6)</f>
        <v>2.5</v>
      </c>
      <c r="F7" s="12">
        <f>AVERAGE(F3:F6)</f>
        <v>2.25</v>
      </c>
    </row>
    <row r="8" spans="1:6" ht="42" customHeight="1" x14ac:dyDescent="0.3">
      <c r="A8" s="4" t="s">
        <v>11</v>
      </c>
      <c r="B8" s="4"/>
      <c r="C8" s="4"/>
      <c r="D8" s="4"/>
      <c r="E8" s="4"/>
      <c r="F8" s="4"/>
    </row>
    <row r="9" spans="1:6" ht="15" customHeight="1" x14ac:dyDescent="0.3">
      <c r="A9" s="3" t="s">
        <v>12</v>
      </c>
      <c r="B9" s="8" t="s">
        <v>6</v>
      </c>
      <c r="C9" s="9">
        <v>1</v>
      </c>
      <c r="D9" s="9">
        <v>2</v>
      </c>
      <c r="E9" s="9">
        <v>1</v>
      </c>
      <c r="F9" s="9">
        <v>2</v>
      </c>
    </row>
    <row r="10" spans="1:6" x14ac:dyDescent="0.3">
      <c r="A10" s="3"/>
      <c r="B10" s="8" t="s">
        <v>7</v>
      </c>
      <c r="C10" s="9">
        <v>2</v>
      </c>
      <c r="D10" s="9">
        <v>2</v>
      </c>
      <c r="E10" s="9">
        <v>2</v>
      </c>
      <c r="F10" s="9">
        <v>2</v>
      </c>
    </row>
    <row r="11" spans="1:6" x14ac:dyDescent="0.3">
      <c r="A11" s="3"/>
      <c r="B11" s="8" t="s">
        <v>8</v>
      </c>
      <c r="C11" s="9">
        <v>3</v>
      </c>
      <c r="D11" s="9">
        <v>3</v>
      </c>
      <c r="E11" s="9">
        <v>3</v>
      </c>
      <c r="F11" s="9">
        <v>3</v>
      </c>
    </row>
    <row r="12" spans="1:6" x14ac:dyDescent="0.3">
      <c r="A12" s="3"/>
      <c r="B12" s="8" t="s">
        <v>9</v>
      </c>
      <c r="C12" s="9">
        <v>1</v>
      </c>
      <c r="D12" s="9">
        <v>1</v>
      </c>
      <c r="E12" s="9">
        <v>1</v>
      </c>
      <c r="F12" s="9">
        <v>2</v>
      </c>
    </row>
    <row r="13" spans="1:6" ht="27.6" x14ac:dyDescent="0.3">
      <c r="A13" s="10"/>
      <c r="B13" s="11" t="s">
        <v>10</v>
      </c>
      <c r="C13" s="12">
        <f>AVERAGE(C9:C12)</f>
        <v>1.75</v>
      </c>
      <c r="D13" s="12">
        <f>AVERAGE(D9:D12)</f>
        <v>2</v>
      </c>
      <c r="E13" s="12">
        <f>AVERAGE(E9:E12)</f>
        <v>1.75</v>
      </c>
      <c r="F13" s="12">
        <f>AVERAGE(F9:F12)</f>
        <v>2.25</v>
      </c>
    </row>
    <row r="14" spans="1:6" ht="42" customHeight="1" x14ac:dyDescent="0.3">
      <c r="A14" s="4" t="s">
        <v>13</v>
      </c>
      <c r="B14" s="4"/>
      <c r="C14" s="4"/>
      <c r="D14" s="4"/>
      <c r="E14" s="4"/>
      <c r="F14" s="4"/>
    </row>
    <row r="15" spans="1:6" ht="15" customHeight="1" x14ac:dyDescent="0.3">
      <c r="A15" s="2" t="s">
        <v>14</v>
      </c>
      <c r="B15" s="8" t="s">
        <v>6</v>
      </c>
      <c r="C15" s="9">
        <v>2</v>
      </c>
      <c r="D15" s="9">
        <v>1</v>
      </c>
      <c r="E15" s="9">
        <v>1</v>
      </c>
      <c r="F15" s="9">
        <v>1</v>
      </c>
    </row>
    <row r="16" spans="1:6" x14ac:dyDescent="0.3">
      <c r="A16" s="2"/>
      <c r="B16" s="8" t="s">
        <v>7</v>
      </c>
      <c r="C16" s="9">
        <v>3</v>
      </c>
      <c r="D16" s="9">
        <v>2</v>
      </c>
      <c r="E16" s="9">
        <v>1</v>
      </c>
      <c r="F16" s="9">
        <v>2</v>
      </c>
    </row>
    <row r="17" spans="1:6" x14ac:dyDescent="0.3">
      <c r="A17" s="2"/>
      <c r="B17" s="8" t="s">
        <v>8</v>
      </c>
      <c r="C17" s="9">
        <v>3</v>
      </c>
      <c r="D17" s="9">
        <v>3</v>
      </c>
      <c r="E17" s="9">
        <v>2</v>
      </c>
      <c r="F17" s="9">
        <v>3</v>
      </c>
    </row>
    <row r="18" spans="1:6" x14ac:dyDescent="0.3">
      <c r="A18" s="2"/>
      <c r="B18" s="8" t="s">
        <v>9</v>
      </c>
      <c r="C18" s="9">
        <v>3</v>
      </c>
      <c r="D18" s="9">
        <v>3</v>
      </c>
      <c r="E18" s="9">
        <v>3</v>
      </c>
      <c r="F18" s="9">
        <v>3</v>
      </c>
    </row>
    <row r="19" spans="1:6" ht="27.6" x14ac:dyDescent="0.3">
      <c r="A19" s="10"/>
      <c r="B19" s="11" t="s">
        <v>10</v>
      </c>
      <c r="C19" s="12">
        <f>AVERAGE(C15:C18)</f>
        <v>2.75</v>
      </c>
      <c r="D19" s="12">
        <f>AVERAGE(D15:D18)</f>
        <v>2.25</v>
      </c>
      <c r="E19" s="12">
        <f>AVERAGE(E15:E18)</f>
        <v>1.75</v>
      </c>
      <c r="F19" s="12">
        <f>AVERAGE(F15:F18)</f>
        <v>2.25</v>
      </c>
    </row>
    <row r="20" spans="1:6" ht="42" customHeight="1" x14ac:dyDescent="0.3">
      <c r="A20" s="4" t="s">
        <v>15</v>
      </c>
      <c r="B20" s="4"/>
      <c r="C20" s="4"/>
      <c r="D20" s="4"/>
      <c r="E20" s="4"/>
      <c r="F20" s="4"/>
    </row>
    <row r="21" spans="1:6" ht="15" customHeight="1" x14ac:dyDescent="0.3">
      <c r="A21" s="1" t="s">
        <v>16</v>
      </c>
      <c r="B21" s="1"/>
      <c r="C21" s="1"/>
      <c r="D21" s="1"/>
      <c r="E21" s="1"/>
      <c r="F21" s="1"/>
    </row>
    <row r="22" spans="1:6" x14ac:dyDescent="0.3">
      <c r="A22" s="34" t="s">
        <v>5</v>
      </c>
      <c r="B22" s="33" t="s">
        <v>73</v>
      </c>
      <c r="C22" s="35" t="s">
        <v>17</v>
      </c>
      <c r="D22" s="35" t="s">
        <v>17</v>
      </c>
      <c r="E22" s="35" t="s">
        <v>17</v>
      </c>
      <c r="F22" s="35" t="s">
        <v>17</v>
      </c>
    </row>
    <row r="23" spans="1:6" x14ac:dyDescent="0.3">
      <c r="A23" s="8" t="s">
        <v>12</v>
      </c>
      <c r="B23" s="13"/>
      <c r="C23" s="9"/>
      <c r="D23" s="9"/>
      <c r="E23" s="9"/>
      <c r="F23" s="9"/>
    </row>
    <row r="24" spans="1:6" x14ac:dyDescent="0.3">
      <c r="A24" s="8" t="s">
        <v>14</v>
      </c>
      <c r="B24" s="13"/>
      <c r="C24" s="9" t="s">
        <v>17</v>
      </c>
      <c r="D24" s="9"/>
      <c r="E24" s="9"/>
      <c r="F24" s="9"/>
    </row>
    <row r="25" spans="1:6" ht="42" customHeight="1" x14ac:dyDescent="0.3">
      <c r="A25" s="36" t="s">
        <v>65</v>
      </c>
      <c r="B25" s="17"/>
      <c r="C25" s="17"/>
      <c r="D25" s="17"/>
      <c r="E25" s="17"/>
      <c r="F25" s="17"/>
    </row>
  </sheetData>
  <mergeCells count="9">
    <mergeCell ref="A15:A18"/>
    <mergeCell ref="A20:F20"/>
    <mergeCell ref="A21:F21"/>
    <mergeCell ref="A25:F25"/>
    <mergeCell ref="A1:F1"/>
    <mergeCell ref="A3:A6"/>
    <mergeCell ref="A8:F8"/>
    <mergeCell ref="A9:A12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tabSelected="1" zoomScaleNormal="100" workbookViewId="0">
      <selection activeCell="E4" sqref="E4"/>
    </sheetView>
  </sheetViews>
  <sheetFormatPr defaultColWidth="8.6640625" defaultRowHeight="14.4" x14ac:dyDescent="0.3"/>
  <cols>
    <col min="1" max="1" width="34" customWidth="1"/>
    <col min="2" max="2" width="22" customWidth="1"/>
    <col min="3" max="3" width="20" customWidth="1"/>
    <col min="4" max="5" width="16" customWidth="1"/>
  </cols>
  <sheetData>
    <row r="1" spans="1:4" ht="19.5" customHeight="1" x14ac:dyDescent="0.3">
      <c r="A1" s="37" t="s">
        <v>66</v>
      </c>
      <c r="B1" s="37"/>
      <c r="C1" s="37"/>
      <c r="D1" s="37"/>
    </row>
    <row r="2" spans="1:4" ht="15" customHeight="1" x14ac:dyDescent="0.3">
      <c r="A2" s="31" t="s">
        <v>18</v>
      </c>
      <c r="B2" s="31"/>
      <c r="C2" s="31"/>
      <c r="D2" s="31"/>
    </row>
    <row r="3" spans="1:4" x14ac:dyDescent="0.3">
      <c r="A3" s="14" t="s">
        <v>19</v>
      </c>
      <c r="B3" s="14" t="s">
        <v>20</v>
      </c>
      <c r="C3" s="14" t="s">
        <v>21</v>
      </c>
      <c r="D3" s="14" t="s">
        <v>22</v>
      </c>
    </row>
    <row r="4" spans="1:4" x14ac:dyDescent="0.3">
      <c r="A4" s="8" t="s">
        <v>23</v>
      </c>
      <c r="B4" s="18">
        <v>240</v>
      </c>
      <c r="C4" s="18">
        <v>15</v>
      </c>
      <c r="D4" s="19">
        <f>B4*C4</f>
        <v>3600</v>
      </c>
    </row>
    <row r="5" spans="1:4" x14ac:dyDescent="0.3">
      <c r="A5" s="8" t="s">
        <v>67</v>
      </c>
      <c r="B5" s="18">
        <v>210</v>
      </c>
      <c r="C5" s="18">
        <v>15</v>
      </c>
      <c r="D5" s="19">
        <f>B5*C5</f>
        <v>3150</v>
      </c>
    </row>
    <row r="6" spans="1:4" x14ac:dyDescent="0.3">
      <c r="A6" s="8" t="s">
        <v>68</v>
      </c>
      <c r="B6" s="18">
        <v>200</v>
      </c>
      <c r="C6" s="18">
        <v>15</v>
      </c>
      <c r="D6" s="19">
        <f>B6*C6</f>
        <v>3000</v>
      </c>
    </row>
    <row r="7" spans="1:4" x14ac:dyDescent="0.3">
      <c r="A7" s="8" t="s">
        <v>24</v>
      </c>
      <c r="B7" s="18">
        <v>50</v>
      </c>
      <c r="C7" s="18">
        <v>10</v>
      </c>
      <c r="D7" s="19">
        <f>B7*C7</f>
        <v>500</v>
      </c>
    </row>
    <row r="8" spans="1:4" ht="15" customHeight="1" x14ac:dyDescent="0.3">
      <c r="A8" s="31" t="s">
        <v>25</v>
      </c>
      <c r="B8" s="31"/>
      <c r="C8" s="31"/>
      <c r="D8" s="31"/>
    </row>
    <row r="9" spans="1:4" x14ac:dyDescent="0.3">
      <c r="A9" s="14" t="s">
        <v>26</v>
      </c>
      <c r="B9" s="14" t="s">
        <v>27</v>
      </c>
      <c r="C9" s="14" t="s">
        <v>28</v>
      </c>
      <c r="D9" s="14" t="s">
        <v>22</v>
      </c>
    </row>
    <row r="10" spans="1:4" x14ac:dyDescent="0.3">
      <c r="A10" s="8" t="s">
        <v>29</v>
      </c>
      <c r="B10" s="18">
        <v>2</v>
      </c>
      <c r="C10" s="18">
        <v>200</v>
      </c>
      <c r="D10" s="19">
        <f>B10*C10</f>
        <v>400</v>
      </c>
    </row>
    <row r="11" spans="1:4" ht="15" customHeight="1" x14ac:dyDescent="0.3">
      <c r="A11" s="31" t="s">
        <v>30</v>
      </c>
      <c r="B11" s="31"/>
      <c r="C11" s="31"/>
      <c r="D11" s="31"/>
    </row>
    <row r="12" spans="1:4" x14ac:dyDescent="0.3">
      <c r="A12" s="14" t="s">
        <v>26</v>
      </c>
      <c r="B12" s="14"/>
      <c r="C12" s="14"/>
      <c r="D12" s="14" t="s">
        <v>31</v>
      </c>
    </row>
    <row r="13" spans="1:4" x14ac:dyDescent="0.3">
      <c r="A13" s="8" t="s">
        <v>32</v>
      </c>
      <c r="B13" s="18"/>
      <c r="C13" s="18"/>
      <c r="D13" s="19">
        <v>300</v>
      </c>
    </row>
    <row r="14" spans="1:4" x14ac:dyDescent="0.3">
      <c r="A14" s="8" t="s">
        <v>33</v>
      </c>
      <c r="B14" s="18"/>
      <c r="C14" s="18"/>
      <c r="D14" s="19">
        <v>100</v>
      </c>
    </row>
    <row r="15" spans="1:4" ht="15" customHeight="1" x14ac:dyDescent="0.3">
      <c r="A15" s="31" t="s">
        <v>34</v>
      </c>
      <c r="B15" s="31"/>
      <c r="C15" s="31"/>
      <c r="D15" s="31"/>
    </row>
    <row r="16" spans="1:4" x14ac:dyDescent="0.3">
      <c r="A16" s="14" t="s">
        <v>26</v>
      </c>
      <c r="B16" s="14" t="s">
        <v>35</v>
      </c>
      <c r="C16" s="14" t="s">
        <v>36</v>
      </c>
      <c r="D16" s="14" t="s">
        <v>22</v>
      </c>
    </row>
    <row r="17" spans="1:5" x14ac:dyDescent="0.3">
      <c r="A17" s="8" t="s">
        <v>69</v>
      </c>
      <c r="B17" s="18">
        <v>1</v>
      </c>
      <c r="C17" s="18">
        <v>600</v>
      </c>
      <c r="D17" s="19">
        <f>B17*C17</f>
        <v>600</v>
      </c>
    </row>
    <row r="18" spans="1:5" x14ac:dyDescent="0.3">
      <c r="A18" s="8" t="s">
        <v>37</v>
      </c>
      <c r="B18" s="18">
        <v>1</v>
      </c>
      <c r="C18" s="18">
        <v>0</v>
      </c>
      <c r="D18" s="19">
        <v>0</v>
      </c>
    </row>
    <row r="19" spans="1:5" x14ac:dyDescent="0.3">
      <c r="A19" s="8" t="s">
        <v>38</v>
      </c>
      <c r="B19" s="18">
        <v>1</v>
      </c>
      <c r="C19" s="18">
        <v>200</v>
      </c>
      <c r="D19" s="19">
        <f>B19*C19</f>
        <v>200</v>
      </c>
    </row>
    <row r="20" spans="1:5" ht="18" customHeight="1" x14ac:dyDescent="0.3">
      <c r="A20" s="20" t="s">
        <v>39</v>
      </c>
      <c r="B20" s="20"/>
      <c r="C20" s="20"/>
      <c r="D20" s="21">
        <f>D4+D5+D6+D7+D10+D13+D14+D17+D18+D19</f>
        <v>11850</v>
      </c>
    </row>
    <row r="22" spans="1:5" ht="19.5" customHeight="1" x14ac:dyDescent="0.3">
      <c r="A22" s="27" t="s">
        <v>71</v>
      </c>
      <c r="B22" s="27"/>
      <c r="C22" s="27"/>
      <c r="D22" s="27"/>
      <c r="E22" s="27"/>
    </row>
    <row r="23" spans="1:5" ht="18" customHeight="1" x14ac:dyDescent="0.3">
      <c r="A23" s="22" t="s">
        <v>40</v>
      </c>
      <c r="B23" s="22" t="s">
        <v>41</v>
      </c>
      <c r="C23" s="22" t="s">
        <v>42</v>
      </c>
      <c r="D23" s="22" t="s">
        <v>43</v>
      </c>
      <c r="E23" s="28" t="s">
        <v>72</v>
      </c>
    </row>
    <row r="24" spans="1:5" x14ac:dyDescent="0.3">
      <c r="A24" s="23" t="s">
        <v>44</v>
      </c>
      <c r="B24" s="24"/>
      <c r="C24" s="24"/>
      <c r="D24" s="24"/>
      <c r="E24" s="24"/>
    </row>
    <row r="25" spans="1:5" x14ac:dyDescent="0.3">
      <c r="A25" s="8" t="s">
        <v>45</v>
      </c>
      <c r="B25" s="19">
        <v>10500</v>
      </c>
      <c r="C25" s="19">
        <v>0</v>
      </c>
      <c r="D25" s="19">
        <v>0</v>
      </c>
      <c r="E25" s="19">
        <v>0</v>
      </c>
    </row>
    <row r="26" spans="1:5" x14ac:dyDescent="0.3">
      <c r="A26" s="8" t="s">
        <v>70</v>
      </c>
      <c r="B26" s="19">
        <v>600</v>
      </c>
      <c r="C26" s="19">
        <v>600</v>
      </c>
      <c r="D26" s="19">
        <v>600</v>
      </c>
      <c r="E26" s="19">
        <v>600</v>
      </c>
    </row>
    <row r="27" spans="1:5" x14ac:dyDescent="0.3">
      <c r="A27" s="8" t="s">
        <v>46</v>
      </c>
      <c r="B27" s="19">
        <v>400</v>
      </c>
      <c r="C27" s="19">
        <v>0</v>
      </c>
      <c r="D27" s="19">
        <v>0</v>
      </c>
      <c r="E27" s="19">
        <v>0</v>
      </c>
    </row>
    <row r="28" spans="1:5" x14ac:dyDescent="0.3">
      <c r="A28" s="8" t="s">
        <v>47</v>
      </c>
      <c r="B28" s="19">
        <v>400</v>
      </c>
      <c r="C28" s="19">
        <v>0</v>
      </c>
      <c r="D28" s="19">
        <v>0</v>
      </c>
      <c r="E28" s="19">
        <v>0</v>
      </c>
    </row>
    <row r="29" spans="1:5" x14ac:dyDescent="0.3">
      <c r="A29" s="8" t="s">
        <v>48</v>
      </c>
      <c r="B29" s="19">
        <v>200</v>
      </c>
      <c r="C29" s="19">
        <v>0</v>
      </c>
      <c r="D29" s="19">
        <v>0</v>
      </c>
      <c r="E29" s="19">
        <v>0</v>
      </c>
    </row>
    <row r="30" spans="1:5" x14ac:dyDescent="0.3">
      <c r="A30" s="8" t="s">
        <v>49</v>
      </c>
      <c r="B30" s="19">
        <v>0</v>
      </c>
      <c r="C30" s="19">
        <v>1000</v>
      </c>
      <c r="D30" s="19">
        <v>1000</v>
      </c>
      <c r="E30" s="19">
        <v>1000</v>
      </c>
    </row>
    <row r="31" spans="1:5" x14ac:dyDescent="0.3">
      <c r="A31" s="8" t="s">
        <v>50</v>
      </c>
      <c r="B31" s="19">
        <v>960</v>
      </c>
      <c r="C31" s="19">
        <v>0</v>
      </c>
      <c r="D31" s="19">
        <v>0</v>
      </c>
      <c r="E31" s="19">
        <v>0</v>
      </c>
    </row>
    <row r="32" spans="1:5" x14ac:dyDescent="0.3">
      <c r="A32" s="15" t="s">
        <v>51</v>
      </c>
      <c r="B32" s="16">
        <f>SUM(B25:B31)</f>
        <v>13060</v>
      </c>
      <c r="C32" s="16">
        <f>SUM(C25:C31)</f>
        <v>1600</v>
      </c>
      <c r="D32" s="16">
        <f>SUM(D25:D31)</f>
        <v>1600</v>
      </c>
      <c r="E32" s="16">
        <f>SUM(E25:E31)</f>
        <v>1600</v>
      </c>
    </row>
    <row r="33" spans="1:5" x14ac:dyDescent="0.3">
      <c r="A33" s="25" t="s">
        <v>52</v>
      </c>
      <c r="B33" s="26"/>
      <c r="C33" s="26"/>
      <c r="D33" s="26"/>
      <c r="E33" s="26"/>
    </row>
    <row r="34" spans="1:5" x14ac:dyDescent="0.3">
      <c r="A34" s="8" t="s">
        <v>53</v>
      </c>
      <c r="B34" s="19">
        <v>0</v>
      </c>
      <c r="C34" s="19">
        <v>2000</v>
      </c>
      <c r="D34" s="19">
        <v>2000</v>
      </c>
      <c r="E34" s="19">
        <v>2000</v>
      </c>
    </row>
    <row r="35" spans="1:5" x14ac:dyDescent="0.3">
      <c r="A35" s="8" t="s">
        <v>54</v>
      </c>
      <c r="B35" s="19">
        <v>0</v>
      </c>
      <c r="C35" s="19">
        <v>1200</v>
      </c>
      <c r="D35" s="19">
        <v>1200</v>
      </c>
      <c r="E35" s="19">
        <v>1200</v>
      </c>
    </row>
    <row r="36" spans="1:5" x14ac:dyDescent="0.3">
      <c r="A36" s="8" t="s">
        <v>55</v>
      </c>
      <c r="B36" s="19">
        <v>0</v>
      </c>
      <c r="C36" s="19">
        <v>800</v>
      </c>
      <c r="D36" s="19">
        <v>800</v>
      </c>
      <c r="E36" s="19">
        <v>800</v>
      </c>
    </row>
    <row r="37" spans="1:5" x14ac:dyDescent="0.3">
      <c r="A37" s="8" t="s">
        <v>56</v>
      </c>
      <c r="B37" s="19">
        <v>0</v>
      </c>
      <c r="C37" s="19">
        <v>600</v>
      </c>
      <c r="D37" s="19">
        <v>600</v>
      </c>
      <c r="E37" s="19">
        <v>600</v>
      </c>
    </row>
    <row r="38" spans="1:5" ht="27.6" x14ac:dyDescent="0.3">
      <c r="A38" s="8" t="s">
        <v>57</v>
      </c>
      <c r="B38" s="19">
        <v>0</v>
      </c>
      <c r="C38" s="19">
        <v>200</v>
      </c>
      <c r="D38" s="19">
        <v>200</v>
      </c>
      <c r="E38" s="19">
        <v>200</v>
      </c>
    </row>
    <row r="39" spans="1:5" x14ac:dyDescent="0.3">
      <c r="A39" s="8" t="s">
        <v>58</v>
      </c>
      <c r="B39" s="19">
        <v>0</v>
      </c>
      <c r="C39" s="19">
        <v>0</v>
      </c>
      <c r="D39" s="19">
        <v>2000</v>
      </c>
      <c r="E39" s="19">
        <v>2000</v>
      </c>
    </row>
    <row r="40" spans="1:5" x14ac:dyDescent="0.3">
      <c r="A40" s="8" t="s">
        <v>59</v>
      </c>
      <c r="B40" s="19">
        <v>0</v>
      </c>
      <c r="C40" s="19">
        <v>300</v>
      </c>
      <c r="D40" s="19">
        <v>300</v>
      </c>
      <c r="E40" s="19">
        <v>300</v>
      </c>
    </row>
    <row r="41" spans="1:5" x14ac:dyDescent="0.3">
      <c r="A41" s="15" t="s">
        <v>60</v>
      </c>
      <c r="B41" s="16">
        <f>SUM(B34:B40)</f>
        <v>0</v>
      </c>
      <c r="C41" s="16">
        <f>SUM(C34:C40)</f>
        <v>5100</v>
      </c>
      <c r="D41" s="16">
        <f>SUM(D34:D40)</f>
        <v>7100</v>
      </c>
      <c r="E41" s="16">
        <f>SUM(E34:E40)</f>
        <v>7100</v>
      </c>
    </row>
    <row r="42" spans="1:5" x14ac:dyDescent="0.3">
      <c r="A42" s="15" t="s">
        <v>61</v>
      </c>
      <c r="B42" s="16">
        <f>B41-B32</f>
        <v>-13060</v>
      </c>
      <c r="C42" s="16">
        <f>C41-C32</f>
        <v>3500</v>
      </c>
      <c r="D42" s="16">
        <f>D41-D32</f>
        <v>5500</v>
      </c>
      <c r="E42" s="16">
        <f>E41-E32</f>
        <v>5500</v>
      </c>
    </row>
    <row r="43" spans="1:5" x14ac:dyDescent="0.3">
      <c r="A43" s="15" t="s">
        <v>62</v>
      </c>
      <c r="B43" s="16">
        <f>B42</f>
        <v>-13060</v>
      </c>
      <c r="C43" s="30">
        <f>B43+C42</f>
        <v>-9560</v>
      </c>
      <c r="D43" s="30">
        <f>C43+D42</f>
        <v>-4060</v>
      </c>
      <c r="E43" s="29">
        <f>D43+E42</f>
        <v>1440</v>
      </c>
    </row>
    <row r="44" spans="1:5" x14ac:dyDescent="0.3">
      <c r="A44" s="15" t="s">
        <v>63</v>
      </c>
      <c r="B44" s="9" t="s">
        <v>64</v>
      </c>
      <c r="C44" s="30">
        <f>(C43/ABS(B43))*100</f>
        <v>-73.200612557427263</v>
      </c>
      <c r="D44" s="30">
        <f>(D43/ABS(B43))*100</f>
        <v>-31.087289433384381</v>
      </c>
      <c r="E44" s="29">
        <f>(E43/ABS(C43))*100</f>
        <v>15.062761506276152</v>
      </c>
    </row>
  </sheetData>
  <mergeCells count="7">
    <mergeCell ref="A20:C20"/>
    <mergeCell ref="A22:E22"/>
    <mergeCell ref="A1:D1"/>
    <mergeCell ref="A2:D2"/>
    <mergeCell ref="A8:D8"/>
    <mergeCell ref="A11:D11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Analiza izvedivosti</vt:lpstr>
      <vt:lpstr>Analiza troškova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 Petrović</cp:lastModifiedBy>
  <cp:revision>0</cp:revision>
  <dcterms:created xsi:type="dcterms:W3CDTF">2026-04-19T12:52:33Z</dcterms:created>
  <dcterms:modified xsi:type="dcterms:W3CDTF">2026-04-19T13:07:45Z</dcterms:modified>
  <dc:language>en-US</dc:language>
</cp:coreProperties>
</file>